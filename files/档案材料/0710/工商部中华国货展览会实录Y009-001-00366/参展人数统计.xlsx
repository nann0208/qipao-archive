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A好好读书\aaa史料收集\shiliao_website\files\档案材料\0710\工商部中华国货展览会实录Y009-001-00366\"/>
    </mc:Choice>
  </mc:AlternateContent>
  <xr:revisionPtr revIDLastSave="0" documentId="13_ncr:1_{90BCC5C1-5401-4C1B-B906-1F70E3F78BCB}" xr6:coauthVersionLast="47" xr6:coauthVersionMax="47" xr10:uidLastSave="{00000000-0000-0000-0000-000000000000}"/>
  <bookViews>
    <workbookView xWindow="-108" yWindow="-108" windowWidth="23256" windowHeight="12576" xr2:uid="{957EF486-F74E-4D1F-8DD1-D584CF4E192C}"/>
  </bookViews>
  <sheets>
    <sheet name="十二月统计" sheetId="1" r:id="rId1"/>
    <sheet name="正月统计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0" i="1" l="1"/>
  <c r="R7" i="1"/>
  <c r="C5" i="2"/>
  <c r="C33" i="1"/>
  <c r="G5" i="2"/>
  <c r="G33" i="1"/>
  <c r="F5" i="2"/>
  <c r="E5" i="2"/>
  <c r="F33" i="1"/>
  <c r="E33" i="1"/>
  <c r="D33" i="1"/>
</calcChain>
</file>

<file path=xl/sharedStrings.xml><?xml version="1.0" encoding="utf-8"?>
<sst xmlns="http://schemas.openxmlformats.org/spreadsheetml/2006/main" count="110" uniqueCount="69">
  <si>
    <t>日期</t>
  </si>
  <si>
    <t>星期</t>
  </si>
  <si>
    <t>特别来宾</t>
  </si>
  <si>
    <t>团体个数</t>
  </si>
  <si>
    <t>普通来宾</t>
  </si>
  <si>
    <t>1</t>
  </si>
  <si>
    <t>2</t>
  </si>
  <si>
    <t>3</t>
  </si>
  <si>
    <t>二</t>
  </si>
  <si>
    <t>4</t>
  </si>
  <si>
    <t>三</t>
  </si>
  <si>
    <t>5</t>
  </si>
  <si>
    <t>四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</si>
  <si>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</si>
  <si>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</si>
  <si>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</si>
  <si>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</si>
  <si>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</si>
  <si>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</si>
  <si>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</si>
  <si>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</si>
  <si>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</si>
  <si>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</si>
  <si>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</si>
  <si>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</si>
  <si>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</si>
  <si>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</si>
  <si>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</si>
  <si>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</si>
  <si>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</si>
  <si>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</si>
  <si>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</si>
  <si>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</si>
  <si>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</si>
  <si>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</si>
  <si>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</si>
  <si>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</si>
  <si>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</si>
  <si>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r>
      <rPr>
        <b/>
        <sz val="9"/>
        <color rgb="FFFFFFFF"/>
        <rFont val="宋体"/>
        <family val="3"/>
        <charset val="134"/>
      </rPr>
      <t>日期</t>
    </r>
  </si>
  <si>
    <r>
      <rPr>
        <b/>
        <sz val="9"/>
        <color rgb="FFFFFFFF"/>
        <rFont val="宋体"/>
        <family val="3"/>
        <charset val="134"/>
      </rPr>
      <t>星期</t>
    </r>
  </si>
  <si>
    <r>
      <rPr>
        <b/>
        <sz val="9"/>
        <color rgb="FFFFFFFF"/>
        <rFont val="宋体"/>
        <family val="3"/>
        <charset val="134"/>
      </rPr>
      <t>特别来宾</t>
    </r>
  </si>
  <si>
    <r>
      <rPr>
        <b/>
        <sz val="9"/>
        <color rgb="FFFFFFFF"/>
        <rFont val="宋体"/>
        <family val="3"/>
        <charset val="134"/>
      </rPr>
      <t>团体个数</t>
    </r>
  </si>
  <si>
    <r>
      <rPr>
        <b/>
        <sz val="9"/>
        <color rgb="FFFFFFFF"/>
        <rFont val="宋体"/>
        <family val="3"/>
        <charset val="134"/>
      </rPr>
      <t>人数</t>
    </r>
  </si>
  <si>
    <r>
      <rPr>
        <b/>
        <sz val="9"/>
        <color rgb="FFFFFFFF"/>
        <rFont val="宋体"/>
        <family val="3"/>
        <charset val="134"/>
      </rPr>
      <t>普通来宾</t>
    </r>
  </si>
  <si>
    <r>
      <rPr>
        <b/>
        <sz val="9"/>
        <color rgb="FFFFFFFF"/>
        <rFont val="宋体"/>
        <family val="3"/>
        <charset val="134"/>
      </rPr>
      <t>本日合计</t>
    </r>
  </si>
  <si>
    <r>
      <rPr>
        <sz val="9"/>
        <color theme="1"/>
        <rFont val="宋体"/>
        <family val="3"/>
        <charset val="134"/>
      </rPr>
      <t>六</t>
    </r>
  </si>
  <si>
    <r>
      <rPr>
        <sz val="9"/>
        <color theme="1"/>
        <rFont val="宋体"/>
        <family val="3"/>
        <charset val="134"/>
      </rPr>
      <t>日</t>
    </r>
  </si>
  <si>
    <r>
      <rPr>
        <sz val="9"/>
        <color theme="1"/>
        <rFont val="宋体"/>
        <family val="3"/>
        <charset val="134"/>
      </rPr>
      <t>一</t>
    </r>
  </si>
  <si>
    <r>
      <rPr>
        <sz val="9"/>
        <color theme="1"/>
        <rFont val="宋体"/>
        <family val="3"/>
        <charset val="134"/>
      </rPr>
      <t>二</t>
    </r>
  </si>
  <si>
    <r>
      <rPr>
        <sz val="9"/>
        <color theme="1"/>
        <rFont val="宋体"/>
        <family val="3"/>
        <charset val="134"/>
      </rPr>
      <t>三</t>
    </r>
  </si>
  <si>
    <r>
      <rPr>
        <sz val="9"/>
        <color theme="1"/>
        <rFont val="宋体"/>
        <family val="3"/>
        <charset val="134"/>
      </rPr>
      <t>四</t>
    </r>
  </si>
  <si>
    <r>
      <rPr>
        <sz val="9"/>
        <color theme="1"/>
        <rFont val="宋体"/>
        <family val="3"/>
        <charset val="134"/>
      </rPr>
      <t>五</t>
    </r>
  </si>
  <si>
    <t>13</t>
    <phoneticPr fontId="4" type="noConversion"/>
  </si>
  <si>
    <t>合计</t>
  </si>
  <si>
    <t>团体人数</t>
    <phoneticPr fontId="4" type="noConversion"/>
  </si>
  <si>
    <t>本日合计</t>
    <phoneticPr fontId="4" type="noConversion"/>
  </si>
  <si>
    <t>合计</t>
    <phoneticPr fontId="4" type="noConversion"/>
  </si>
  <si>
    <t>团体总人数</t>
    <phoneticPr fontId="4" type="noConversion"/>
  </si>
  <si>
    <t>12月参展人数</t>
    <phoneticPr fontId="4" type="noConversion"/>
  </si>
  <si>
    <t>1月参展人数</t>
    <phoneticPr fontId="4" type="noConversion"/>
  </si>
  <si>
    <t>参观时段</t>
  </si>
  <si>
    <t>特别来宾（人）</t>
  </si>
  <si>
    <t>团体参观者（人）</t>
  </si>
  <si>
    <t>普通来宾（人）</t>
  </si>
  <si>
    <t>参观总人数（人）</t>
  </si>
  <si>
    <t>12 月展期</t>
  </si>
  <si>
    <t>次年 1 月展期</t>
  </si>
  <si>
    <r>
      <t xml:space="preserve">12 </t>
    </r>
    <r>
      <rPr>
        <sz val="11"/>
        <color theme="1"/>
        <rFont val="宋体"/>
        <family val="3"/>
        <charset val="134"/>
      </rPr>
      <t>月</t>
    </r>
    <phoneticPr fontId="4" type="noConversion"/>
  </si>
  <si>
    <r>
      <t>次年</t>
    </r>
    <r>
      <rPr>
        <sz val="11"/>
        <color theme="1"/>
        <rFont val="Times New Roman"/>
        <family val="1"/>
      </rPr>
      <t xml:space="preserve"> 1 </t>
    </r>
    <r>
      <rPr>
        <sz val="11"/>
        <color theme="1"/>
        <rFont val="宋体"/>
        <family val="3"/>
        <charset val="134"/>
      </rPr>
      <t>月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</si>
</sst>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b/>
      <sz val="9"/>
      <color rgb="FFFFFFFF"/>
      <name val="宋体"/>
      <family val="3"/>
      <charset val="134"/>
    </font>
    <font>
      <sz val="11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9"/>
      <color rgb="FFFFFFFF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</fills>
  <borders count="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B33D6-605A-4EEE-8E9C-8D9503761A97}">
  <dimension ref="A1:R35"/>
  <sheetViews>
    <sheetView tabSelected="1" topLeftCell="A7" zoomScaleNormal="100" workbookViewId="0">
      <selection activeCell="N18" sqref="N18:R20"/>
    </sheetView>
  </sheetViews>
  <sheetFormatPr defaultRowHeight="14.4" x14ac:dyDescent="0.25"/>
  <cols>
    <col min="1" max="16384" width="8.88671875" style="10"/>
  </cols>
  <sheetData>
    <row r="1" spans="1:18" x14ac:dyDescent="0.2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43</v>
      </c>
      <c r="G1" s="4" t="s">
        <v>44</v>
      </c>
      <c r="H1" s="6"/>
    </row>
    <row r="2" spans="1:18" x14ac:dyDescent="0.25">
      <c r="A2" s="5" t="s">
        <v>5</v>
      </c>
      <c r="B2" s="5" t="s">
        <v>45</v>
      </c>
      <c r="C2" s="7">
        <v>9</v>
      </c>
      <c r="D2" s="7">
        <v>9</v>
      </c>
      <c r="E2" s="7">
        <v>500</v>
      </c>
      <c r="F2" s="7">
        <v>8800</v>
      </c>
      <c r="G2" s="7">
        <v>9309</v>
      </c>
    </row>
    <row r="3" spans="1:18" x14ac:dyDescent="0.25">
      <c r="A3" s="5" t="s">
        <v>6</v>
      </c>
      <c r="B3" s="5" t="s">
        <v>46</v>
      </c>
      <c r="C3" s="7">
        <v>17</v>
      </c>
      <c r="D3" s="7">
        <v>6</v>
      </c>
      <c r="E3" s="7">
        <v>300</v>
      </c>
      <c r="F3" s="7">
        <v>19000</v>
      </c>
      <c r="G3" s="7">
        <v>19309</v>
      </c>
    </row>
    <row r="4" spans="1:18" x14ac:dyDescent="0.25">
      <c r="A4" s="5" t="s">
        <v>7</v>
      </c>
      <c r="B4" s="5" t="s">
        <v>47</v>
      </c>
      <c r="C4" s="7">
        <v>6</v>
      </c>
      <c r="D4" s="7">
        <v>3</v>
      </c>
      <c r="E4" s="7">
        <v>150</v>
      </c>
      <c r="F4" s="7">
        <v>1800</v>
      </c>
      <c r="G4" s="7">
        <v>1956</v>
      </c>
    </row>
    <row r="5" spans="1:18" x14ac:dyDescent="0.25">
      <c r="A5" s="5" t="s">
        <v>9</v>
      </c>
      <c r="B5" s="5" t="s">
        <v>48</v>
      </c>
      <c r="C5" s="7">
        <v>2</v>
      </c>
      <c r="D5" s="7">
        <v>7</v>
      </c>
      <c r="E5" s="7">
        <v>1200</v>
      </c>
      <c r="F5" s="7">
        <v>3200</v>
      </c>
      <c r="G5" s="7">
        <v>4402</v>
      </c>
      <c r="P5" s="10" t="s">
        <v>58</v>
      </c>
    </row>
    <row r="6" spans="1:18" x14ac:dyDescent="0.25">
      <c r="A6" s="5" t="s">
        <v>11</v>
      </c>
      <c r="B6" s="5" t="s">
        <v>49</v>
      </c>
      <c r="C6" s="7">
        <v>4</v>
      </c>
      <c r="D6" s="7">
        <v>6</v>
      </c>
      <c r="E6" s="7">
        <v>1500</v>
      </c>
      <c r="F6" s="7">
        <v>4400</v>
      </c>
      <c r="G6" s="7">
        <v>5904</v>
      </c>
      <c r="N6" s="4" t="s">
        <v>40</v>
      </c>
      <c r="O6" s="4" t="s">
        <v>41</v>
      </c>
      <c r="P6" s="1" t="s">
        <v>57</v>
      </c>
      <c r="Q6" s="4" t="s">
        <v>43</v>
      </c>
      <c r="R6" s="1" t="s">
        <v>56</v>
      </c>
    </row>
    <row r="7" spans="1:18" x14ac:dyDescent="0.25">
      <c r="A7" s="5" t="s">
        <v>13</v>
      </c>
      <c r="B7" s="5" t="s">
        <v>50</v>
      </c>
      <c r="C7" s="7">
        <v>5</v>
      </c>
      <c r="D7" s="7">
        <v>4</v>
      </c>
      <c r="E7" s="7">
        <v>300</v>
      </c>
      <c r="F7" s="7">
        <v>4800</v>
      </c>
      <c r="G7" s="7">
        <v>5105</v>
      </c>
      <c r="N7" s="10">
        <v>485</v>
      </c>
      <c r="O7" s="10">
        <v>136</v>
      </c>
      <c r="P7" s="10">
        <v>10710</v>
      </c>
      <c r="Q7" s="10">
        <v>202100</v>
      </c>
      <c r="R7" s="10">
        <f>N7+P7+Q7</f>
        <v>213295</v>
      </c>
    </row>
    <row r="8" spans="1:18" x14ac:dyDescent="0.25">
      <c r="A8" s="5" t="s">
        <v>14</v>
      </c>
      <c r="B8" s="5" t="s">
        <v>51</v>
      </c>
      <c r="C8" s="7">
        <v>13</v>
      </c>
      <c r="D8" s="7">
        <v>4</v>
      </c>
      <c r="E8" s="7">
        <v>140</v>
      </c>
      <c r="F8" s="7">
        <v>5800</v>
      </c>
      <c r="G8" s="7">
        <v>5593</v>
      </c>
      <c r="P8" s="10" t="s">
        <v>59</v>
      </c>
    </row>
    <row r="9" spans="1:18" x14ac:dyDescent="0.25">
      <c r="A9" s="5" t="s">
        <v>15</v>
      </c>
      <c r="B9" s="5" t="s">
        <v>45</v>
      </c>
      <c r="C9" s="7">
        <v>51</v>
      </c>
      <c r="D9" s="7">
        <v>7</v>
      </c>
      <c r="E9" s="7">
        <v>320</v>
      </c>
      <c r="F9" s="7">
        <v>1900</v>
      </c>
      <c r="G9" s="7">
        <v>2271</v>
      </c>
      <c r="N9" s="4" t="s">
        <v>40</v>
      </c>
      <c r="O9" s="4" t="s">
        <v>41</v>
      </c>
      <c r="P9" s="1" t="s">
        <v>57</v>
      </c>
      <c r="Q9" s="4" t="s">
        <v>43</v>
      </c>
      <c r="R9" s="4" t="s">
        <v>44</v>
      </c>
    </row>
    <row r="10" spans="1:18" x14ac:dyDescent="0.25">
      <c r="A10" s="5" t="s">
        <v>16</v>
      </c>
      <c r="B10" s="5" t="s">
        <v>46</v>
      </c>
      <c r="C10" s="7">
        <v>5</v>
      </c>
      <c r="D10" s="7">
        <v>3</v>
      </c>
      <c r="E10" s="7">
        <v>150</v>
      </c>
      <c r="F10" s="7">
        <v>6900</v>
      </c>
      <c r="G10" s="7">
        <v>7055</v>
      </c>
      <c r="N10" s="10">
        <v>209</v>
      </c>
      <c r="O10" s="10">
        <v>0</v>
      </c>
      <c r="P10" s="10">
        <v>0</v>
      </c>
      <c r="Q10" s="10">
        <v>117000</v>
      </c>
      <c r="R10" s="10">
        <f>209+P10+Q10</f>
        <v>117209</v>
      </c>
    </row>
    <row r="11" spans="1:18" x14ac:dyDescent="0.25">
      <c r="A11" s="5" t="s">
        <v>17</v>
      </c>
      <c r="B11" s="5" t="s">
        <v>47</v>
      </c>
      <c r="C11" s="7">
        <v>7</v>
      </c>
      <c r="D11" s="7">
        <v>3</v>
      </c>
      <c r="E11" s="7">
        <v>300</v>
      </c>
      <c r="F11" s="7">
        <v>6000</v>
      </c>
      <c r="G11" s="7">
        <v>6307</v>
      </c>
    </row>
    <row r="12" spans="1:18" x14ac:dyDescent="0.25">
      <c r="A12" s="5" t="s">
        <v>18</v>
      </c>
      <c r="B12" s="5" t="s">
        <v>48</v>
      </c>
      <c r="C12" s="7">
        <v>12</v>
      </c>
      <c r="D12" s="7">
        <v>5</v>
      </c>
      <c r="E12" s="7">
        <v>450</v>
      </c>
      <c r="F12" s="7">
        <v>5000</v>
      </c>
      <c r="G12" s="7">
        <v>5462</v>
      </c>
    </row>
    <row r="13" spans="1:18" ht="15" thickBot="1" x14ac:dyDescent="0.3">
      <c r="A13" s="5" t="s">
        <v>19</v>
      </c>
      <c r="B13" s="5" t="s">
        <v>49</v>
      </c>
      <c r="C13" s="7">
        <v>56</v>
      </c>
      <c r="D13" s="7">
        <v>4</v>
      </c>
      <c r="E13" s="7">
        <v>300</v>
      </c>
      <c r="F13" s="7">
        <v>2600</v>
      </c>
      <c r="G13" s="7">
        <v>2956</v>
      </c>
    </row>
    <row r="14" spans="1:18" ht="28.2" thickBot="1" x14ac:dyDescent="0.3">
      <c r="A14" s="5" t="s">
        <v>52</v>
      </c>
      <c r="B14" s="5" t="s">
        <v>50</v>
      </c>
      <c r="C14" s="7">
        <v>1</v>
      </c>
      <c r="D14" s="7">
        <v>5</v>
      </c>
      <c r="E14" s="7">
        <v>500</v>
      </c>
      <c r="F14" s="7">
        <v>2600</v>
      </c>
      <c r="G14" s="7">
        <v>3101</v>
      </c>
      <c r="N14" s="13" t="s">
        <v>60</v>
      </c>
      <c r="O14" s="13" t="s">
        <v>61</v>
      </c>
      <c r="P14" s="13" t="s">
        <v>62</v>
      </c>
      <c r="Q14" s="13" t="s">
        <v>63</v>
      </c>
      <c r="R14" s="13" t="s">
        <v>64</v>
      </c>
    </row>
    <row r="15" spans="1:18" ht="28.2" thickBot="1" x14ac:dyDescent="0.3">
      <c r="A15" s="5" t="s">
        <v>20</v>
      </c>
      <c r="B15" s="5" t="s">
        <v>51</v>
      </c>
      <c r="C15" s="7">
        <v>6</v>
      </c>
      <c r="D15" s="7">
        <v>0</v>
      </c>
      <c r="E15" s="7">
        <v>0</v>
      </c>
      <c r="F15" s="7">
        <v>2300</v>
      </c>
      <c r="G15" s="7">
        <v>2306</v>
      </c>
      <c r="N15" s="12" t="s">
        <v>65</v>
      </c>
      <c r="O15" s="12">
        <v>485</v>
      </c>
      <c r="P15" s="12">
        <v>10710</v>
      </c>
      <c r="Q15" s="12">
        <v>202100</v>
      </c>
      <c r="R15" s="12">
        <v>213295</v>
      </c>
    </row>
    <row r="16" spans="1:18" ht="28.2" thickBot="1" x14ac:dyDescent="0.3">
      <c r="A16" s="5" t="s">
        <v>21</v>
      </c>
      <c r="B16" s="5" t="s">
        <v>45</v>
      </c>
      <c r="C16" s="7">
        <v>27</v>
      </c>
      <c r="D16" s="7">
        <v>3</v>
      </c>
      <c r="E16" s="7">
        <v>200</v>
      </c>
      <c r="F16" s="7">
        <v>3700</v>
      </c>
      <c r="G16" s="7">
        <v>3927</v>
      </c>
      <c r="N16" s="12" t="s">
        <v>66</v>
      </c>
      <c r="O16" s="12">
        <v>209</v>
      </c>
      <c r="P16" s="12">
        <v>21280</v>
      </c>
      <c r="Q16" s="12">
        <v>117000</v>
      </c>
      <c r="R16" s="12">
        <v>138489</v>
      </c>
    </row>
    <row r="17" spans="1:18" ht="15" thickBot="1" x14ac:dyDescent="0.3">
      <c r="A17" s="5" t="s">
        <v>22</v>
      </c>
      <c r="B17" s="5" t="s">
        <v>46</v>
      </c>
      <c r="C17" s="7">
        <v>16</v>
      </c>
      <c r="D17" s="7">
        <v>3</v>
      </c>
      <c r="E17" s="7">
        <v>200</v>
      </c>
      <c r="F17" s="7">
        <v>12100</v>
      </c>
      <c r="G17" s="7">
        <v>12316</v>
      </c>
    </row>
    <row r="18" spans="1:18" ht="43.8" thickBot="1" x14ac:dyDescent="0.3">
      <c r="A18" s="5" t="s">
        <v>23</v>
      </c>
      <c r="B18" s="5" t="s">
        <v>47</v>
      </c>
      <c r="C18" s="7">
        <v>7</v>
      </c>
      <c r="D18" s="7">
        <v>3</v>
      </c>
      <c r="E18" s="7">
        <v>300</v>
      </c>
      <c r="F18" s="7">
        <v>6300</v>
      </c>
      <c r="G18" s="7">
        <v>6607</v>
      </c>
      <c r="N18" s="14" t="s">
        <v>60</v>
      </c>
      <c r="O18" s="15" t="s">
        <v>61</v>
      </c>
      <c r="P18" s="15" t="s">
        <v>62</v>
      </c>
      <c r="Q18" s="15" t="s">
        <v>63</v>
      </c>
      <c r="R18" s="15" t="s">
        <v>64</v>
      </c>
    </row>
    <row r="19" spans="1:18" ht="15" thickBot="1" x14ac:dyDescent="0.3">
      <c r="A19" s="5" t="s">
        <v>24</v>
      </c>
      <c r="B19" s="5" t="s">
        <v>48</v>
      </c>
      <c r="C19" s="6">
        <v>3</v>
      </c>
      <c r="D19" s="7">
        <v>8</v>
      </c>
      <c r="E19" s="7">
        <v>600</v>
      </c>
      <c r="F19" s="7">
        <v>5800</v>
      </c>
      <c r="G19" s="7">
        <v>6403</v>
      </c>
      <c r="N19" s="16" t="s">
        <v>67</v>
      </c>
      <c r="O19" s="17">
        <v>485</v>
      </c>
      <c r="P19" s="17">
        <v>10710</v>
      </c>
      <c r="Q19" s="17">
        <v>202100</v>
      </c>
      <c r="R19" s="17">
        <v>213295</v>
      </c>
    </row>
    <row r="20" spans="1:18" ht="15" thickBot="1" x14ac:dyDescent="0.3">
      <c r="A20" s="5" t="s">
        <v>25</v>
      </c>
      <c r="B20" s="5" t="s">
        <v>49</v>
      </c>
      <c r="C20" s="6">
        <v>7</v>
      </c>
      <c r="D20" s="7">
        <v>5</v>
      </c>
      <c r="E20" s="7">
        <v>250</v>
      </c>
      <c r="F20" s="7">
        <v>5600</v>
      </c>
      <c r="G20" s="7">
        <v>5857</v>
      </c>
      <c r="N20" s="18" t="s">
        <v>68</v>
      </c>
      <c r="O20" s="17">
        <v>209</v>
      </c>
      <c r="P20" s="17">
        <v>21280</v>
      </c>
      <c r="Q20" s="17">
        <v>117000</v>
      </c>
      <c r="R20" s="17">
        <v>138489</v>
      </c>
    </row>
    <row r="21" spans="1:18" x14ac:dyDescent="0.25">
      <c r="A21" s="5" t="s">
        <v>26</v>
      </c>
      <c r="B21" s="5" t="s">
        <v>50</v>
      </c>
      <c r="C21" s="7">
        <v>5</v>
      </c>
      <c r="D21" s="7">
        <v>4</v>
      </c>
      <c r="E21" s="7">
        <v>400</v>
      </c>
      <c r="F21" s="7">
        <v>5600</v>
      </c>
      <c r="G21" s="7">
        <v>6005</v>
      </c>
    </row>
    <row r="22" spans="1:18" x14ac:dyDescent="0.25">
      <c r="A22" s="5" t="s">
        <v>27</v>
      </c>
      <c r="B22" s="5" t="s">
        <v>51</v>
      </c>
      <c r="C22" s="7">
        <v>17</v>
      </c>
      <c r="D22" s="7">
        <v>3</v>
      </c>
      <c r="E22" s="7">
        <v>200</v>
      </c>
      <c r="F22" s="7">
        <v>6400</v>
      </c>
      <c r="G22" s="7">
        <v>6617</v>
      </c>
    </row>
    <row r="23" spans="1:18" x14ac:dyDescent="0.25">
      <c r="A23" s="5" t="s">
        <v>28</v>
      </c>
      <c r="B23" s="5" t="s">
        <v>45</v>
      </c>
      <c r="C23" s="7">
        <v>58</v>
      </c>
      <c r="D23" s="7">
        <v>9</v>
      </c>
      <c r="E23" s="7">
        <v>350</v>
      </c>
      <c r="F23" s="7">
        <v>12200</v>
      </c>
      <c r="G23" s="7">
        <v>12608</v>
      </c>
    </row>
    <row r="24" spans="1:18" x14ac:dyDescent="0.25">
      <c r="A24" s="5" t="s">
        <v>29</v>
      </c>
      <c r="B24" s="5" t="s">
        <v>46</v>
      </c>
      <c r="C24" s="7">
        <v>34</v>
      </c>
      <c r="D24" s="7">
        <v>6</v>
      </c>
      <c r="E24" s="7">
        <v>150</v>
      </c>
      <c r="F24" s="7">
        <v>12400</v>
      </c>
      <c r="G24" s="7">
        <v>12584</v>
      </c>
    </row>
    <row r="25" spans="1:18" x14ac:dyDescent="0.25">
      <c r="A25" s="5" t="s">
        <v>30</v>
      </c>
      <c r="B25" s="5" t="s">
        <v>47</v>
      </c>
      <c r="C25" s="7">
        <v>4</v>
      </c>
      <c r="D25" s="7">
        <v>2</v>
      </c>
      <c r="E25" s="7">
        <v>150</v>
      </c>
      <c r="F25" s="7">
        <v>4400</v>
      </c>
      <c r="G25" s="7">
        <v>4554</v>
      </c>
    </row>
    <row r="26" spans="1:18" x14ac:dyDescent="0.25">
      <c r="A26" s="5" t="s">
        <v>31</v>
      </c>
      <c r="B26" s="5" t="s">
        <v>48</v>
      </c>
      <c r="C26" s="7">
        <v>49</v>
      </c>
      <c r="D26" s="7">
        <v>8</v>
      </c>
      <c r="E26" s="7">
        <v>600</v>
      </c>
      <c r="F26" s="7">
        <v>13200</v>
      </c>
      <c r="G26" s="7">
        <v>13849</v>
      </c>
    </row>
    <row r="27" spans="1:18" x14ac:dyDescent="0.25">
      <c r="A27" s="5" t="s">
        <v>32</v>
      </c>
      <c r="B27" s="5" t="s">
        <v>49</v>
      </c>
      <c r="C27" s="7">
        <v>3</v>
      </c>
      <c r="D27" s="7">
        <v>1</v>
      </c>
      <c r="E27" s="7">
        <v>100</v>
      </c>
      <c r="F27" s="7">
        <v>7300</v>
      </c>
      <c r="G27" s="7">
        <v>7403</v>
      </c>
    </row>
    <row r="28" spans="1:18" x14ac:dyDescent="0.25">
      <c r="A28" s="5" t="s">
        <v>33</v>
      </c>
      <c r="B28" s="5" t="s">
        <v>50</v>
      </c>
      <c r="C28" s="7">
        <v>2</v>
      </c>
      <c r="D28" s="7">
        <v>3</v>
      </c>
      <c r="E28" s="7">
        <v>100</v>
      </c>
      <c r="F28" s="7">
        <v>2100</v>
      </c>
      <c r="G28" s="7">
        <v>2202</v>
      </c>
    </row>
    <row r="29" spans="1:18" x14ac:dyDescent="0.25">
      <c r="A29" s="5" t="s">
        <v>34</v>
      </c>
      <c r="B29" s="5" t="s">
        <v>51</v>
      </c>
      <c r="C29" s="7">
        <v>11</v>
      </c>
      <c r="D29" s="7">
        <v>4</v>
      </c>
      <c r="E29" s="7">
        <v>300</v>
      </c>
      <c r="F29" s="7">
        <v>4000</v>
      </c>
      <c r="G29" s="7">
        <v>4311</v>
      </c>
    </row>
    <row r="30" spans="1:18" x14ac:dyDescent="0.25">
      <c r="A30" s="5" t="s">
        <v>35</v>
      </c>
      <c r="B30" s="5" t="s">
        <v>45</v>
      </c>
      <c r="C30" s="7">
        <v>8</v>
      </c>
      <c r="D30" s="7">
        <v>4</v>
      </c>
      <c r="E30" s="7">
        <v>200</v>
      </c>
      <c r="F30" s="7">
        <v>6600</v>
      </c>
      <c r="G30" s="7">
        <v>6808</v>
      </c>
    </row>
    <row r="31" spans="1:18" x14ac:dyDescent="0.25">
      <c r="A31" s="5" t="s">
        <v>36</v>
      </c>
      <c r="B31" s="5" t="s">
        <v>46</v>
      </c>
      <c r="C31" s="7">
        <v>26</v>
      </c>
      <c r="D31" s="7">
        <v>3</v>
      </c>
      <c r="E31" s="7">
        <v>200</v>
      </c>
      <c r="F31" s="7">
        <v>9200</v>
      </c>
      <c r="G31" s="7">
        <v>9426</v>
      </c>
    </row>
    <row r="32" spans="1:18" x14ac:dyDescent="0.25">
      <c r="A32" s="5" t="s">
        <v>37</v>
      </c>
      <c r="B32" s="5" t="s">
        <v>47</v>
      </c>
      <c r="C32" s="7">
        <v>14</v>
      </c>
      <c r="D32" s="7">
        <v>1</v>
      </c>
      <c r="E32" s="7">
        <v>300</v>
      </c>
      <c r="F32" s="7">
        <v>10100</v>
      </c>
      <c r="G32" s="7">
        <v>10414</v>
      </c>
    </row>
    <row r="33" spans="1:8" x14ac:dyDescent="0.25">
      <c r="A33" s="8" t="s">
        <v>53</v>
      </c>
      <c r="B33" s="8"/>
      <c r="C33" s="11">
        <f>SUM(C2:C32)</f>
        <v>485</v>
      </c>
      <c r="D33" s="11">
        <f>SUM(D2:D32)</f>
        <v>136</v>
      </c>
      <c r="E33" s="11">
        <f>SUM(E2:E32)</f>
        <v>10710</v>
      </c>
      <c r="F33" s="11">
        <f>SUM(F2:F32)</f>
        <v>202100</v>
      </c>
      <c r="G33" s="11">
        <f>SUM(G2:G32)</f>
        <v>212927</v>
      </c>
      <c r="H33" s="6"/>
    </row>
    <row r="34" spans="1:8" x14ac:dyDescent="0.25">
      <c r="A34" s="6"/>
      <c r="B34" s="6"/>
      <c r="C34" s="7"/>
      <c r="D34" s="7"/>
      <c r="E34" s="6"/>
      <c r="F34" s="6"/>
      <c r="G34" s="6"/>
      <c r="H34" s="6"/>
    </row>
    <row r="35" spans="1:8" x14ac:dyDescent="0.25">
      <c r="D35" s="7"/>
    </row>
  </sheetData>
  <phoneticPr fontId="4" type="noConversion"/>
  <pageMargins left="0.7" right="0.7" top="0.75" bottom="0.75" header="0.3" footer="0.3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7E07-266B-4DBF-8948-1A4DF033AAC7}">
  <dimension ref="A1:G5"/>
  <sheetViews>
    <sheetView zoomScale="115" zoomScaleNormal="115" workbookViewId="0">
      <selection activeCell="E10" sqref="E10"/>
    </sheetView>
  </sheetViews>
  <sheetFormatPr defaultRowHeight="13.8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54</v>
      </c>
      <c r="F1" s="1" t="s">
        <v>4</v>
      </c>
      <c r="G1" s="1" t="s">
        <v>55</v>
      </c>
    </row>
    <row r="2" spans="1:7" x14ac:dyDescent="0.25">
      <c r="A2" s="2" t="s">
        <v>5</v>
      </c>
      <c r="B2" s="2" t="s">
        <v>8</v>
      </c>
      <c r="C2" s="3">
        <v>190</v>
      </c>
      <c r="D2" s="3">
        <v>0</v>
      </c>
      <c r="E2" s="3">
        <v>0</v>
      </c>
      <c r="F2" s="3">
        <v>9300</v>
      </c>
      <c r="G2" s="3">
        <v>9490</v>
      </c>
    </row>
    <row r="3" spans="1:7" x14ac:dyDescent="0.25">
      <c r="A3" s="2" t="s">
        <v>6</v>
      </c>
      <c r="B3" s="2" t="s">
        <v>10</v>
      </c>
      <c r="C3" s="3">
        <v>1</v>
      </c>
      <c r="D3" s="3">
        <v>0</v>
      </c>
      <c r="E3" s="3">
        <v>0</v>
      </c>
      <c r="F3" s="3">
        <v>6600</v>
      </c>
      <c r="G3" s="3">
        <v>6601</v>
      </c>
    </row>
    <row r="4" spans="1:7" x14ac:dyDescent="0.25">
      <c r="A4" s="2" t="s">
        <v>7</v>
      </c>
      <c r="B4" s="2" t="s">
        <v>12</v>
      </c>
      <c r="C4" s="3">
        <v>18</v>
      </c>
      <c r="D4" s="3">
        <v>0</v>
      </c>
      <c r="E4" s="3">
        <v>21280</v>
      </c>
      <c r="F4" s="3">
        <v>101100</v>
      </c>
      <c r="G4" s="3">
        <v>101118</v>
      </c>
    </row>
    <row r="5" spans="1:7" x14ac:dyDescent="0.25">
      <c r="A5" s="8" t="s">
        <v>53</v>
      </c>
      <c r="B5" s="8"/>
      <c r="C5" s="9">
        <f>SUM(C2:C4)</f>
        <v>209</v>
      </c>
      <c r="D5" s="9">
        <v>0</v>
      </c>
      <c r="E5" s="9">
        <f>SUM(E2:E4)</f>
        <v>21280</v>
      </c>
      <c r="F5" s="9">
        <f>SUM(F2:F4)</f>
        <v>117000</v>
      </c>
      <c r="G5" s="9">
        <f>SUM(G2:G4)</f>
        <v>117209</v>
      </c>
    </row>
  </sheetData>
  <phoneticPr fontId="4" type="noConversion"/>
  <pageMargins left="0.7" right="0.7" top="0.75" bottom="0.75" header="0.3" footer="0.3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十二月统计</vt:lpstr>
      <vt:lpstr>正月统计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</dc:creator>
  <cp:lastModifiedBy>Nann </cp:lastModifiedBy>
  <cp:lastPrinted>2026-07-21T08:03:35Z</cp:lastPrinted>
  <dcterms:created xsi:type="dcterms:W3CDTF">2026-07-21T04:00:08Z</dcterms:created>
  <dcterms:modified xsi:type="dcterms:W3CDTF">2026-07-26T14:19:17Z</dcterms:modified>
</cp:coreProperties>
</file>